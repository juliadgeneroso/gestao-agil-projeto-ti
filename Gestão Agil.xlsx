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C3929F5-9451-4879-BFDC-ED532CB9FE8B}" xr6:coauthVersionLast="47" xr6:coauthVersionMax="47" xr10:uidLastSave="{00000000-0000-0000-0000-000000000000}"/>
  <bookViews>
    <workbookView xWindow="-120" yWindow="-120" windowWidth="20730" windowHeight="11160" activeTab="1" xr2:uid="{8BE6D2E6-91A1-4419-B3EE-2D7EC45B96D5}"/>
  </bookViews>
  <sheets>
    <sheet name="Controle do Projeto" sheetId="1" r:id="rId1"/>
    <sheet name="Dashboar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2" l="1"/>
  <c r="D3" i="2"/>
  <c r="B3" i="2"/>
  <c r="I5" i="1"/>
  <c r="I6" i="1"/>
  <c r="I7" i="1"/>
  <c r="I8" i="1"/>
  <c r="I9" i="1"/>
  <c r="H3" i="1"/>
  <c r="I3" i="1" s="1"/>
  <c r="H4" i="1"/>
  <c r="I4" i="1" s="1"/>
  <c r="H5" i="1"/>
  <c r="H6" i="1"/>
  <c r="H7" i="1"/>
  <c r="H8" i="1"/>
  <c r="H9" i="1"/>
  <c r="H2" i="1"/>
  <c r="I2" i="1" s="1"/>
  <c r="L10" i="1"/>
  <c r="L9" i="1"/>
  <c r="L6" i="1"/>
  <c r="L7" i="1" s="1"/>
  <c r="L5" i="1"/>
  <c r="L4" i="1"/>
  <c r="L3" i="1"/>
</calcChain>
</file>

<file path=xl/sharedStrings.xml><?xml version="1.0" encoding="utf-8"?>
<sst xmlns="http://schemas.openxmlformats.org/spreadsheetml/2006/main" count="61" uniqueCount="41">
  <si>
    <t>Prioridade</t>
  </si>
  <si>
    <t>Responsável</t>
  </si>
  <si>
    <t>Status</t>
  </si>
  <si>
    <t>Horas previstas</t>
  </si>
  <si>
    <t>Horas realizadas</t>
  </si>
  <si>
    <t>Criar tela de login</t>
  </si>
  <si>
    <t>Alta</t>
  </si>
  <si>
    <t>Dev A</t>
  </si>
  <si>
    <t>Dev B</t>
  </si>
  <si>
    <t>Média</t>
  </si>
  <si>
    <t>Em andamento</t>
  </si>
  <si>
    <t>A fazer</t>
  </si>
  <si>
    <t>Código</t>
  </si>
  <si>
    <t>Tarefa</t>
  </si>
  <si>
    <t>T01</t>
  </si>
  <si>
    <t>T02</t>
  </si>
  <si>
    <t>Criar cadastro de clientes</t>
  </si>
  <si>
    <t>T03</t>
  </si>
  <si>
    <t>Criar recuperação de senha</t>
  </si>
  <si>
    <t>T04</t>
  </si>
  <si>
    <t>Cadastrar serviços do salão</t>
  </si>
  <si>
    <t>T05</t>
  </si>
  <si>
    <t>Criar agenda de horários</t>
  </si>
  <si>
    <t>T06</t>
  </si>
  <si>
    <t>Permitir agendamento de horário</t>
  </si>
  <si>
    <t>T07</t>
  </si>
  <si>
    <t>Permitir cancelamento de agendamento</t>
  </si>
  <si>
    <t>T08</t>
  </si>
  <si>
    <t>Enviar confirmação do agendamento</t>
  </si>
  <si>
    <t>Em revisão</t>
  </si>
  <si>
    <t>INDICADORES DO PROJETO</t>
  </si>
  <si>
    <t>TOTAL DE DEMANDAS</t>
  </si>
  <si>
    <t>Total de demandas</t>
  </si>
  <si>
    <t>Concluída</t>
  </si>
  <si>
    <t>% Concluídas</t>
  </si>
  <si>
    <t>Total de horas previstas</t>
  </si>
  <si>
    <t>Total de horas realizadas</t>
  </si>
  <si>
    <t>Status das horas</t>
  </si>
  <si>
    <t>Desvio de horas</t>
  </si>
  <si>
    <t>EM ANDAMENTO</t>
  </si>
  <si>
    <t>% CONCLUÍDAS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</si>
</sst>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1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Status das</a:t>
            </a:r>
            <a:r>
              <a:rPr lang="pt-BR" baseline="0"/>
              <a:t> Demandas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32A-46DC-9BC2-6560BAE44CD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32A-46DC-9BC2-6560BAE44CD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32A-46DC-9BC2-6560BAE44CD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32A-46DC-9BC2-6560BAE44CD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'Controle do Projeto'!$K$3:$K$6</c:f>
              <c:strCache>
                <c:ptCount val="4"/>
                <c:pt idx="0">
                  <c:v>Em andamento</c:v>
                </c:pt>
                <c:pt idx="1">
                  <c:v>Em revisão</c:v>
                </c:pt>
                <c:pt idx="2">
                  <c:v>A fazer</c:v>
                </c:pt>
                <c:pt idx="3">
                  <c:v>Concluída</c:v>
                </c:pt>
              </c:strCache>
            </c:strRef>
          </c:cat>
          <c:val>
            <c:numRef>
              <c:f>'Controle do Projeto'!$L$3:$L$6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32A-46DC-9BC2-6560BAE44CD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Horas</a:t>
            </a:r>
            <a:r>
              <a:rPr lang="pt-BR" baseline="0"/>
              <a:t> Previstas x Realizadas</a:t>
            </a:r>
            <a:r>
              <a:rPr lang="pt-BR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'Controle do Projeto'!$K$9:$K$10</c:f>
              <c:strCache>
                <c:ptCount val="2"/>
                <c:pt idx="0">
                  <c:v>Total de horas previstas</c:v>
                </c:pt>
                <c:pt idx="1">
                  <c:v>Total de horas realizadas</c:v>
                </c:pt>
              </c:strCache>
            </c:strRef>
          </c:cat>
          <c:val>
            <c:numRef>
              <c:f>'Controle do Projeto'!$L$9:$L$10</c:f>
              <c:numCache>
                <c:formatCode>General</c:formatCode>
                <c:ptCount val="2"/>
                <c:pt idx="0">
                  <c:v>78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E0-49D2-A7AE-F6B9A6AAED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54155583"/>
        <c:axId val="714865535"/>
      </c:barChart>
      <c:catAx>
        <c:axId val="754155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4865535"/>
        <c:crosses val="autoZero"/>
        <c:auto val="1"/>
        <c:lblAlgn val="ctr"/>
        <c:lblOffset val="100"/>
        <c:noMultiLvlLbl val="0"/>
      </c:catAx>
      <c:valAx>
        <c:axId val="714865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54155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6</xdr:row>
      <xdr:rowOff>133350</xdr:rowOff>
    </xdr:from>
    <xdr:to>
      <xdr:col>7</xdr:col>
      <xdr:colOff>333375</xdr:colOff>
      <xdr:row>21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A014934-F3B4-46F6-B462-313703CBF3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238125</xdr:colOff>
      <xdr:row>2</xdr:row>
      <xdr:rowOff>66675</xdr:rowOff>
    </xdr:from>
    <xdr:to>
      <xdr:col>15</xdr:col>
      <xdr:colOff>19050</xdr:colOff>
      <xdr:row>14</xdr:row>
      <xdr:rowOff>61912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181F527-4011-4B69-BD09-F922B95A37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D484BC-64C5-41CC-A558-AA8E4FA5CB66}" name="Tabela2" displayName="Tabela2" ref="A1:I9" totalsRowShown="0" headerRowDxfId="0" dataDxfId="1">
  <autoFilter ref="A1:I9" xr:uid="{17D484BC-64C5-41CC-A558-AA8E4FA5CB66}"/>
  <tableColumns count="9">
    <tableColumn id="1" xr3:uid="{9CDBD014-A82E-4B17-B71F-A51ADFF8F7CB}" name="Código" dataDxfId="10"/>
    <tableColumn id="2" xr3:uid="{B7506557-9968-40B1-9556-F438519DAFE7}" name="Tarefa" dataDxfId="9"/>
    <tableColumn id="3" xr3:uid="{5D116BD3-4385-4A24-B630-665349B4CB9F}" name="Prioridade" dataDxfId="8"/>
    <tableColumn id="4" xr3:uid="{C309E204-4BCD-4879-A2EC-729B424F64F1}" name="Status" dataDxfId="7"/>
    <tableColumn id="5" xr3:uid="{43DE052A-5B21-46D4-AB0A-69B1C514FB37}" name="Responsável" dataDxfId="6"/>
    <tableColumn id="6" xr3:uid="{DAE77398-63AB-4CDE-BE04-FBF9FD3EA7A6}" name="Horas previstas" dataDxfId="5"/>
    <tableColumn id="7" xr3:uid="{1C09EB3A-693F-4D6D-8509-6628D29DE844}" name="Horas realizadas" dataDxfId="4"/>
    <tableColumn id="8" xr3:uid="{0D5560B6-7DEE-42CE-9C7B-1822D9C85083}" name="Desvio de horas" dataDxfId="3">
      <calculatedColumnFormula>G2-F2</calculatedColumnFormula>
    </tableColumn>
    <tableColumn id="9" xr3:uid="{67B6F2CC-25E7-47E0-B77C-07C18AC03F50}" name="Status das horas" dataDxfId="2">
      <calculatedColumnFormula>IF(D2="A fazer","Não iniciada",IF(H2&gt;0,"Acima do previsto","Dentro do previsto"))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4FC8F-33CD-4C48-9F2B-36F2AFCF2260}">
  <dimension ref="A1:L10"/>
  <sheetViews>
    <sheetView topLeftCell="B1" workbookViewId="0">
      <selection activeCell="L3" sqref="L3"/>
    </sheetView>
  </sheetViews>
  <sheetFormatPr defaultRowHeight="15" x14ac:dyDescent="0.25"/>
  <cols>
    <col min="1" max="1" width="9.28515625" customWidth="1"/>
    <col min="2" max="2" width="36.140625" customWidth="1"/>
    <col min="3" max="3" width="12.42578125" customWidth="1"/>
    <col min="4" max="4" width="14.42578125" bestFit="1" customWidth="1"/>
    <col min="5" max="5" width="14.28515625" customWidth="1"/>
    <col min="6" max="6" width="16.5703125" customWidth="1"/>
    <col min="7" max="7" width="17.42578125" style="1" customWidth="1"/>
    <col min="8" max="8" width="17.140625" style="1" customWidth="1"/>
    <col min="9" max="9" width="17.85546875" style="1" bestFit="1" customWidth="1"/>
    <col min="10" max="10" width="17.85546875" style="1" customWidth="1"/>
    <col min="11" max="11" width="25" style="1" bestFit="1" customWidth="1"/>
    <col min="12" max="12" width="9.140625" style="1"/>
  </cols>
  <sheetData>
    <row r="1" spans="1:12" x14ac:dyDescent="0.25">
      <c r="A1" s="2" t="s">
        <v>12</v>
      </c>
      <c r="B1" s="2" t="s">
        <v>13</v>
      </c>
      <c r="C1" s="2" t="s">
        <v>0</v>
      </c>
      <c r="D1" s="2" t="s">
        <v>2</v>
      </c>
      <c r="E1" s="2" t="s">
        <v>1</v>
      </c>
      <c r="F1" s="2" t="s">
        <v>3</v>
      </c>
      <c r="G1" s="2" t="s">
        <v>4</v>
      </c>
      <c r="H1" s="2" t="s">
        <v>38</v>
      </c>
      <c r="I1" s="2" t="s">
        <v>37</v>
      </c>
      <c r="J1" s="2"/>
      <c r="K1" s="3" t="s">
        <v>30</v>
      </c>
      <c r="L1" s="3"/>
    </row>
    <row r="2" spans="1:12" x14ac:dyDescent="0.25">
      <c r="A2" s="1" t="s">
        <v>14</v>
      </c>
      <c r="B2" s="1" t="s">
        <v>5</v>
      </c>
      <c r="C2" s="1" t="s">
        <v>6</v>
      </c>
      <c r="D2" s="1" t="s">
        <v>10</v>
      </c>
      <c r="E2" s="1" t="s">
        <v>7</v>
      </c>
      <c r="F2" s="1">
        <v>8</v>
      </c>
      <c r="G2" s="1">
        <v>6</v>
      </c>
      <c r="H2" s="1">
        <f>G2-F2</f>
        <v>-2</v>
      </c>
      <c r="I2" s="1" t="str">
        <f>IF(D2="A fazer","Não iniciada",IF(H2&gt;0,"Acima do previsto","Dentro do previsto"))</f>
        <v>Dentro do previsto</v>
      </c>
      <c r="K2" s="4" t="s">
        <v>32</v>
      </c>
      <c r="L2" s="4">
        <v>8</v>
      </c>
    </row>
    <row r="3" spans="1:12" x14ac:dyDescent="0.25">
      <c r="A3" s="1" t="s">
        <v>15</v>
      </c>
      <c r="B3" s="1" t="s">
        <v>16</v>
      </c>
      <c r="C3" s="1" t="s">
        <v>6</v>
      </c>
      <c r="D3" s="1" t="s">
        <v>10</v>
      </c>
      <c r="E3" s="1" t="s">
        <v>8</v>
      </c>
      <c r="F3" s="1">
        <v>12</v>
      </c>
      <c r="G3" s="1">
        <v>5</v>
      </c>
      <c r="H3" s="1">
        <f t="shared" ref="H3:H9" si="0">G3-F3</f>
        <v>-7</v>
      </c>
      <c r="I3" s="1" t="str">
        <f t="shared" ref="I3:I9" si="1">IF(D3="A fazer","Não iniciada",IF(H3&gt;0,"Acima do previsto","Dentro do previsto"))</f>
        <v>Dentro do previsto</v>
      </c>
      <c r="K3" s="4" t="s">
        <v>10</v>
      </c>
      <c r="L3" s="4">
        <f>COUNTIF(D2:D9,"Em andamento")</f>
        <v>2</v>
      </c>
    </row>
    <row r="4" spans="1:12" x14ac:dyDescent="0.25">
      <c r="A4" s="1" t="s">
        <v>17</v>
      </c>
      <c r="B4" s="1" t="s">
        <v>18</v>
      </c>
      <c r="C4" s="1" t="s">
        <v>9</v>
      </c>
      <c r="D4" s="1" t="s">
        <v>29</v>
      </c>
      <c r="E4" s="1" t="s">
        <v>7</v>
      </c>
      <c r="F4" s="1">
        <v>6</v>
      </c>
      <c r="G4" s="1">
        <v>7</v>
      </c>
      <c r="H4" s="1">
        <f t="shared" si="0"/>
        <v>1</v>
      </c>
      <c r="I4" s="1" t="str">
        <f t="shared" si="1"/>
        <v>Acima do previsto</v>
      </c>
      <c r="K4" s="4" t="s">
        <v>29</v>
      </c>
      <c r="L4" s="4">
        <f>COUNTIF(D2:D9,"Em revisão")</f>
        <v>1</v>
      </c>
    </row>
    <row r="5" spans="1:12" x14ac:dyDescent="0.25">
      <c r="A5" s="1" t="s">
        <v>19</v>
      </c>
      <c r="B5" s="1" t="s">
        <v>20</v>
      </c>
      <c r="C5" s="1" t="s">
        <v>6</v>
      </c>
      <c r="D5" s="1" t="s">
        <v>11</v>
      </c>
      <c r="E5" s="1" t="s">
        <v>8</v>
      </c>
      <c r="F5" s="1">
        <v>8</v>
      </c>
      <c r="G5" s="1">
        <v>0</v>
      </c>
      <c r="H5" s="1">
        <f t="shared" si="0"/>
        <v>-8</v>
      </c>
      <c r="I5" s="1" t="str">
        <f t="shared" si="1"/>
        <v>Não iniciada</v>
      </c>
      <c r="K5" s="4" t="s">
        <v>11</v>
      </c>
      <c r="L5" s="4">
        <f>COUNTIF(D2:D9,"A fazer")</f>
        <v>5</v>
      </c>
    </row>
    <row r="6" spans="1:12" x14ac:dyDescent="0.25">
      <c r="A6" s="1" t="s">
        <v>21</v>
      </c>
      <c r="B6" s="1" t="s">
        <v>22</v>
      </c>
      <c r="C6" s="1" t="s">
        <v>6</v>
      </c>
      <c r="D6" s="1" t="s">
        <v>11</v>
      </c>
      <c r="E6" s="1" t="s">
        <v>7</v>
      </c>
      <c r="F6" s="1">
        <v>16</v>
      </c>
      <c r="G6" s="1">
        <v>0</v>
      </c>
      <c r="H6" s="1">
        <f t="shared" si="0"/>
        <v>-16</v>
      </c>
      <c r="I6" s="1" t="str">
        <f t="shared" si="1"/>
        <v>Não iniciada</v>
      </c>
      <c r="K6" s="4" t="s">
        <v>33</v>
      </c>
      <c r="L6" s="4">
        <f>COUNTIF(D2:D9,"Concluída")</f>
        <v>0</v>
      </c>
    </row>
    <row r="7" spans="1:12" x14ac:dyDescent="0.25">
      <c r="A7" s="1" t="s">
        <v>23</v>
      </c>
      <c r="B7" s="1" t="s">
        <v>24</v>
      </c>
      <c r="C7" s="1" t="s">
        <v>6</v>
      </c>
      <c r="D7" s="1" t="s">
        <v>11</v>
      </c>
      <c r="E7" s="1" t="s">
        <v>8</v>
      </c>
      <c r="F7" s="1">
        <v>14</v>
      </c>
      <c r="G7" s="1">
        <v>0</v>
      </c>
      <c r="H7" s="1">
        <f t="shared" si="0"/>
        <v>-14</v>
      </c>
      <c r="I7" s="1" t="str">
        <f t="shared" si="1"/>
        <v>Não iniciada</v>
      </c>
      <c r="K7" s="4" t="s">
        <v>34</v>
      </c>
      <c r="L7" s="5">
        <f>L6/L2</f>
        <v>0</v>
      </c>
    </row>
    <row r="8" spans="1:12" x14ac:dyDescent="0.25">
      <c r="A8" s="1" t="s">
        <v>25</v>
      </c>
      <c r="B8" s="1" t="s">
        <v>26</v>
      </c>
      <c r="C8" s="1" t="s">
        <v>9</v>
      </c>
      <c r="D8" s="1" t="s">
        <v>11</v>
      </c>
      <c r="E8" s="1" t="s">
        <v>7</v>
      </c>
      <c r="F8" s="1">
        <v>8</v>
      </c>
      <c r="G8" s="1">
        <v>0</v>
      </c>
      <c r="H8" s="1">
        <f t="shared" si="0"/>
        <v>-8</v>
      </c>
      <c r="I8" s="1" t="str">
        <f t="shared" si="1"/>
        <v>Não iniciada</v>
      </c>
      <c r="K8" s="4"/>
      <c r="L8" s="4"/>
    </row>
    <row r="9" spans="1:12" x14ac:dyDescent="0.25">
      <c r="A9" s="1" t="s">
        <v>27</v>
      </c>
      <c r="B9" s="1" t="s">
        <v>28</v>
      </c>
      <c r="C9" s="1" t="s">
        <v>9</v>
      </c>
      <c r="D9" s="1" t="s">
        <v>11</v>
      </c>
      <c r="E9" s="1" t="s">
        <v>8</v>
      </c>
      <c r="F9" s="1">
        <v>6</v>
      </c>
      <c r="G9" s="1">
        <v>0</v>
      </c>
      <c r="H9" s="1">
        <f t="shared" si="0"/>
        <v>-6</v>
      </c>
      <c r="I9" s="1" t="str">
        <f t="shared" si="1"/>
        <v>Não iniciada</v>
      </c>
      <c r="K9" s="4" t="s">
        <v>35</v>
      </c>
      <c r="L9" s="4">
        <f>SUM(F2:F9)</f>
        <v>78</v>
      </c>
    </row>
    <row r="10" spans="1:12" x14ac:dyDescent="0.25">
      <c r="K10" s="4" t="s">
        <v>36</v>
      </c>
      <c r="L10" s="4">
        <f>SUM(G2:G9)</f>
        <v>18</v>
      </c>
    </row>
  </sheetData>
  <mergeCells count="1">
    <mergeCell ref="K1:L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FF474-8D01-4B64-85D2-D41F45143954}">
  <dimension ref="B2:F3"/>
  <sheetViews>
    <sheetView tabSelected="1" workbookViewId="0">
      <selection activeCell="G3" sqref="G3"/>
    </sheetView>
  </sheetViews>
  <sheetFormatPr defaultRowHeight="15" x14ac:dyDescent="0.25"/>
  <cols>
    <col min="2" max="2" width="20.28515625" style="1" bestFit="1" customWidth="1"/>
    <col min="3" max="3" width="9.140625" style="1"/>
    <col min="4" max="4" width="16.140625" style="1" bestFit="1" customWidth="1"/>
    <col min="5" max="5" width="9.140625" style="1"/>
    <col min="6" max="6" width="14.5703125" style="1" bestFit="1" customWidth="1"/>
  </cols>
  <sheetData>
    <row r="2" spans="2:6" x14ac:dyDescent="0.25">
      <c r="B2" s="1" t="s">
        <v>31</v>
      </c>
      <c r="D2" s="1" t="s">
        <v>39</v>
      </c>
      <c r="F2" s="1" t="s">
        <v>40</v>
      </c>
    </row>
    <row r="3" spans="2:6" ht="15.75" x14ac:dyDescent="0.25">
      <c r="B3" s="7">
        <f>'Controle do Projeto'!L2</f>
        <v>8</v>
      </c>
      <c r="D3" s="7">
        <f>'Controle do Projeto'!L3</f>
        <v>2</v>
      </c>
      <c r="F3" s="6">
        <f>'Controle do Projeto'!L7</f>
        <v>0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Controle do Projeto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Júlia G</dc:creator>
  <cp:lastModifiedBy>Júlia G</cp:lastModifiedBy>
  <dcterms:created xsi:type="dcterms:W3CDTF">2026-09-23T23:14:15Z</dcterms:created>
  <dcterms:modified xsi:type="dcterms:W3CDTF">2026-09-24T01:02:27Z</dcterms:modified>
</cp:coreProperties>
</file>